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8F3E770E47B103F5/"/>
    </mc:Choice>
  </mc:AlternateContent>
  <xr:revisionPtr revIDLastSave="0" documentId="8_{3FF45DE3-2B87-472D-BCE7-576374BF676E}" xr6:coauthVersionLast="47" xr6:coauthVersionMax="47" xr10:uidLastSave="{00000000-0000-0000-0000-000000000000}"/>
  <bookViews>
    <workbookView minimized="1" xWindow="70" yWindow="440" windowWidth="11060" windowHeight="7270" xr2:uid="{BCB2FE47-CAFB-4612-9E2C-E8A7DB804572}"/>
  </bookViews>
  <sheets>
    <sheet name="DCF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" i="1" l="1"/>
  <c r="M32" i="1" a="1"/>
  <c r="M32" i="1"/>
  <c r="M31" i="1"/>
  <c r="M37" i="1"/>
  <c r="M38" i="1"/>
  <c r="M36" i="1"/>
  <c r="G34" i="1"/>
  <c r="G33" i="1"/>
  <c r="G32" i="1"/>
  <c r="G31" i="1"/>
  <c r="B33" i="1"/>
  <c r="B32" i="1"/>
  <c r="D24" i="1"/>
  <c r="E24" i="1"/>
  <c r="F24" i="1"/>
  <c r="G24" i="1"/>
  <c r="H24" i="1"/>
  <c r="D22" i="1"/>
  <c r="E22" i="1"/>
  <c r="F22" i="1"/>
  <c r="G22" i="1"/>
  <c r="H22" i="1"/>
  <c r="D23" i="1"/>
  <c r="C23" i="1"/>
  <c r="E20" i="1"/>
  <c r="E21" i="1"/>
  <c r="F20" i="1"/>
  <c r="G20" i="1"/>
  <c r="D20" i="1"/>
  <c r="D21" i="1"/>
  <c r="D25" i="1"/>
  <c r="E23" i="1"/>
  <c r="F23" i="1"/>
  <c r="G23" i="1"/>
  <c r="H23" i="1"/>
  <c r="C21" i="1"/>
  <c r="C25" i="1"/>
  <c r="C26" i="1"/>
  <c r="D28" i="1"/>
  <c r="D26" i="1"/>
  <c r="H20" i="1"/>
  <c r="G21" i="1"/>
  <c r="G25" i="1"/>
  <c r="E25" i="1"/>
  <c r="F21" i="1"/>
  <c r="F25" i="1"/>
  <c r="G26" i="1"/>
  <c r="G28" i="1"/>
  <c r="F26" i="1"/>
  <c r="F28" i="1"/>
  <c r="E26" i="1"/>
  <c r="E28" i="1"/>
  <c r="H25" i="1"/>
  <c r="L18" i="1"/>
  <c r="H21" i="1"/>
  <c r="L17" i="1"/>
  <c r="L19" i="1"/>
  <c r="H26" i="1"/>
  <c r="C27" i="1"/>
  <c r="B31" i="1"/>
  <c r="B34" i="1"/>
  <c r="B36" i="1"/>
  <c r="H27" i="1"/>
  <c r="H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<sst xmlns="http://schemas.openxmlformats.org/spreadsheetml/2006/main" count="57" uniqueCount="50">
  <si>
    <t>DCF - Unilever</t>
  </si>
  <si>
    <t>Assumptions</t>
  </si>
  <si>
    <t>Tax Rate</t>
  </si>
  <si>
    <t>Discount Rate (WACC)</t>
  </si>
  <si>
    <t>Perpetual Growth Rate</t>
  </si>
  <si>
    <t>EV/EBITDA Multiple</t>
  </si>
  <si>
    <t>12.1x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</si>
  <si>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</si>
  <si>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</si>
  <si>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</si>
  <si>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</si>
  <si>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</si>
  <si>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</si>
  <si>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</si>
  <si>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Discounted Cash Flow</t>
  </si>
  <si>
    <t>2025 (Entry)</t>
  </si>
  <si>
    <t>2030 (Exit)</t>
  </si>
  <si>
    <t>Terminal Value</t>
  </si>
  <si>
    <t>Date</t>
  </si>
  <si>
    <t xml:space="preserve">Perpertual Growth </t>
  </si>
  <si>
    <t>Time Periods</t>
  </si>
  <si>
    <t>EV/EBITDA</t>
  </si>
  <si>
    <t>Year Fraction</t>
  </si>
  <si>
    <t>Average</t>
  </si>
  <si>
    <t>EBIT</t>
  </si>
  <si>
    <t>Less: Cash Taxes</t>
  </si>
  <si>
    <t>Plus: D&amp;A</t>
  </si>
  <si>
    <t>Less: Capex</t>
  </si>
  <si>
    <t>Less: Changes in NWC</t>
  </si>
  <si>
    <t>Unlevered FCF</t>
  </si>
  <si>
    <t>PV of Unlevered FCF</t>
  </si>
  <si>
    <t>-</t>
  </si>
  <si>
    <t>Transaction CF</t>
  </si>
  <si>
    <t>Intrinsic Value</t>
  </si>
  <si>
    <t>Market value</t>
  </si>
  <si>
    <t>Rate of Return</t>
  </si>
  <si>
    <t>Enterprise Value</t>
  </si>
  <si>
    <t>Market Cap</t>
  </si>
  <si>
    <t>Target Price Upside</t>
  </si>
  <si>
    <t>Plus: Cash</t>
  </si>
  <si>
    <t>Plus: Debt</t>
  </si>
  <si>
    <t>Internal Rate of Return(IRR)</t>
  </si>
  <si>
    <t>Less:Debt</t>
  </si>
  <si>
    <t>Less: Cash</t>
  </si>
  <si>
    <t>Buy/Sell</t>
  </si>
  <si>
    <t>Equity Value</t>
  </si>
  <si>
    <t>Market Value Vs Intrinsic Value</t>
  </si>
  <si>
    <t>Equity Value/Share</t>
  </si>
  <si>
    <t xml:space="preserve">Market Value 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</si>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</sst>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_ [$€-2]\ * #,##0.00_ ;_ [$€-2]\ * \-#,##0.00_ ;_ [$€-2]\ * &quot;-&quot;??_ ;_ @_ 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6">
    <xf numFmtId="0" fontId="0" fillId="0" borderId="0" xfId="0"/>
    <xf numFmtId="10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4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/>
    <xf numFmtId="0" fontId="3" fillId="0" borderId="3" xfId="0" applyFont="1" applyBorder="1" applyAlignment="1">
      <alignment horizont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1" applyNumberFormat="1" applyFont="1" applyAlignment="1">
      <alignment horizontal="right"/>
    </xf>
    <xf numFmtId="165" fontId="5" fillId="0" borderId="0" xfId="1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5" fillId="0" borderId="4" xfId="1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3" fillId="0" borderId="0" xfId="0" applyFont="1" applyAlignment="1">
      <alignment horizontal="center"/>
    </xf>
    <xf numFmtId="10" fontId="0" fillId="0" borderId="0" xfId="0" applyNumberFormat="1"/>
    <xf numFmtId="9" fontId="0" fillId="0" borderId="0" xfId="0" applyNumberFormat="1"/>
    <xf numFmtId="0" fontId="6" fillId="2" borderId="1" xfId="2" applyFont="1" applyFill="1"/>
    <xf numFmtId="0" fontId="3" fillId="0" borderId="2" xfId="0" applyFont="1" applyBorder="1" applyAlignment="1">
      <alignment horizontal="center"/>
    </xf>
  </cellXfs>
  <cellStyles count="3">
    <cellStyle name="Currency" xfId="1" builtinId="4"/>
    <cellStyle name="Heading 1" xfId="2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Cash</a:t>
            </a:r>
            <a:r>
              <a:rPr lang="en-IN" baseline="0"/>
              <a:t> Flow 2026-2030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DCF!$D$16:$H$16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 (Exit)</c:v>
                </c:pt>
              </c:strCache>
            </c:strRef>
          </c:cat>
          <c:val>
            <c:numRef>
              <c:f>DCF!$D$25:$H$25</c:f>
              <c:numCache>
                <c:formatCode>_ [$€-2]\ * #,##0.00_ ;_ [$€-2]\ * \-#,##0.00_ ;_ [$€-2]\ * "-"??_ ;_ @_ </c:formatCode>
                <c:ptCount val="5"/>
                <c:pt idx="0">
                  <c:v>7989.3899999999994</c:v>
                </c:pt>
                <c:pt idx="1">
                  <c:v>8274.0717000000004</c:v>
                </c:pt>
                <c:pt idx="2">
                  <c:v>8567.2938510000004</c:v>
                </c:pt>
                <c:pt idx="3">
                  <c:v>8869.3126665299988</c:v>
                </c:pt>
                <c:pt idx="4">
                  <c:v>9180.3920465258998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4-4B47-9D24-F7953CDA43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98671904"/>
        <c:axId val="198670944"/>
      </c:barChart>
      <c:catAx>
        <c:axId val="19867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0944"/>
        <c:crosses val="autoZero"/>
        <c:auto val="1"/>
        <c:lblAlgn val="ctr"/>
        <c:lblOffset val="100"/>
        <c:noMultiLvlLbl val="0"/>
      </c:catAx>
      <c:valAx>
        <c:axId val="198670944"/>
        <c:scaling>
          <c:orientation val="minMax"/>
        </c:scaling>
        <c:delete val="0"/>
        <c:axPos val="l"/>
        <c:numFmt formatCode="_ [$€-2]\ * #,##0.00_ ;_ [$€-2]\ * \-#,##0.00_ ;_ [$€-2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7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Market</a:t>
            </a:r>
            <a:r>
              <a:rPr lang="en-IN" baseline="0"/>
              <a:t> Value Vs Intrinsic Value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DCF!$J$35:$J$38</c15:sqref>
                  </c15:fullRef>
                </c:ext>
              </c:extLst>
              <c:f>DCF!$J$36:$J$38</c:f>
              <c:strCache>
                <c:ptCount val="3"/>
                <c:pt idx="0">
                  <c:v>Market Value </c:v>
                </c:pt>
                <c:pt idx="1">
                  <c:v>Upside</c:v>
                </c:pt>
                <c:pt idx="2">
                  <c:v>Intrinsic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DCF!$K$35:$K$38</c15:sqref>
                  </c15:fullRef>
                </c:ext>
              </c:extLst>
              <c:f>DCF!$K$36:$K$38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8A2B-4B5B-ACCE-C1BEF4477CDA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DCF!$J$35:$J$38</c15:sqref>
                  </c15:fullRef>
                </c:ext>
              </c:extLst>
              <c:f>DCF!$J$36:$J$38</c:f>
              <c:strCache>
                <c:ptCount val="3"/>
                <c:pt idx="0">
                  <c:v>Market Value </c:v>
                </c:pt>
                <c:pt idx="1">
                  <c:v>Upside</c:v>
                </c:pt>
                <c:pt idx="2">
                  <c:v>Intrinsic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DCF!$L$35:$L$38</c15:sqref>
                  </c15:fullRef>
                </c:ext>
              </c:extLst>
              <c:f>DCF!$L$36:$L$38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8A2B-4B5B-ACCE-C1BEF4477CDA}"/>
            </c:ext>
          </c:extLst>
        </c:ser>
        <c:ser>
          <c:idx val="2"/>
          <c:order val="2"/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DCF!$J$35:$J$38</c15:sqref>
                  </c15:fullRef>
                </c:ext>
              </c:extLst>
              <c:f>DCF!$J$36:$J$38</c:f>
              <c:strCache>
                <c:ptCount val="3"/>
                <c:pt idx="0">
                  <c:v>Market Value </c:v>
                </c:pt>
                <c:pt idx="1">
                  <c:v>Upside</c:v>
                </c:pt>
                <c:pt idx="2">
                  <c:v>Intrinsic Value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DCF!$M$35:$M$38</c15:sqref>
                  </c15:fullRef>
                </c:ext>
              </c:extLst>
              <c:f>DCF!$M$36:$M$38</c:f>
              <c:numCache>
                <c:formatCode>_ [$€-2]\ * #,##0.00_ ;_ [$€-2]\ * \-#,##0.00_ ;_ [$€-2]\ * "-"??_ ;_ @_ </c:formatCode>
                <c:ptCount val="3"/>
                <c:pt idx="0">
                  <c:v>49.5</c:v>
                </c:pt>
                <c:pt idx="1">
                  <c:v>24.077391502980575</c:v>
                </c:pt>
                <c:pt idx="2">
                  <c:v>73.577391502980575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2B-4B5B-ACCE-C1BEF4477C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523309648"/>
        <c:axId val="523312048"/>
      </c:barChart>
      <c:catAx>
        <c:axId val="52330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12048"/>
        <c:crosses val="autoZero"/>
        <c:auto val="1"/>
        <c:lblAlgn val="ctr"/>
        <c:lblOffset val="100"/>
        <c:noMultiLvlLbl val="0"/>
      </c:catAx>
      <c:valAx>
        <c:axId val="523312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  <a:r>
                  <a:rPr lang="en-IN" baseline="0"/>
                  <a:t> in Euro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30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465666</xdr:colOff>
      <xdr:row>2</xdr:row>
      <xdr:rowOff>12700</xdr:rowOff>
    </xdr:from>
    <xdr:to>
      <xdr:col>8</xdr:col>
      <xdr:colOff>76200</xdr:colOff>
      <xdr:row>14</xdr:row>
      <xdr:rowOff>16933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F9853A-D17E-F652-AE35-3DDC37B79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762000</xdr:colOff>
      <xdr:row>1</xdr:row>
      <xdr:rowOff>165101</xdr:rowOff>
    </xdr:from>
    <xdr:to>
      <xdr:col>14</xdr:col>
      <xdr:colOff>499533</xdr:colOff>
      <xdr:row>14</xdr:row>
      <xdr:rowOff>25401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FB7837-92E3-4305-3BF2-28C1C80AF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EBC0-45CB-479B-B455-A7FEE8D5B705}">
  <dimension ref="A1:M38"/>
  <sheetViews>
    <sheetView showGridLines="0" tabSelected="1" zoomScale="71" zoomScaleNormal="86" workbookViewId="0"/>
  </sheetViews>
  <sheetFormatPr defaultRowHeight="14.45"/>
  <cols>
    <col min="1" max="1" width="17.85546875" customWidth="1"/>
    <col min="2" max="2" width="13.42578125" bestFit="1" customWidth="1"/>
    <col min="3" max="3" width="13.85546875" customWidth="1"/>
    <col min="4" max="5" width="11.7109375" customWidth="1"/>
    <col min="6" max="6" width="12.28515625" customWidth="1"/>
    <col min="7" max="7" width="13.28515625" customWidth="1"/>
    <col min="8" max="8" width="14.28515625" customWidth="1"/>
    <col min="9" max="9" width="11" customWidth="1"/>
    <col min="12" max="12" width="14.42578125" customWidth="1"/>
    <col min="13" max="13" width="13.85546875" customWidth="1"/>
    <col min="15" max="15" width="13.42578125" bestFit="1" customWidth="1"/>
  </cols>
  <sheetData>
    <row r="1" spans="1:12" s="7" customFormat="1" ht="24" thickBot="1">
      <c r="A1" s="24" t="s">
        <v>0</v>
      </c>
    </row>
    <row r="2" spans="1:12" ht="15" thickTop="1"/>
    <row r="3" spans="1:12" ht="15" thickBot="1">
      <c r="A3" s="25" t="s">
        <v>1</v>
      </c>
      <c r="B3" s="25"/>
      <c r="C3" s="25"/>
    </row>
    <row r="4" spans="1:12">
      <c r="A4" s="5" t="s">
        <v>2</v>
      </c>
      <c r="C4" s="1">
        <v>0.26</v>
      </c>
    </row>
    <row r="5" spans="1:12">
      <c r="A5" s="5" t="s">
        <v>3</v>
      </c>
      <c r="C5" s="1">
        <v>6.7199999999999996E-2</v>
      </c>
    </row>
    <row r="6" spans="1:12">
      <c r="A6" s="5" t="s">
        <v>4</v>
      </c>
      <c r="C6" s="1">
        <v>0.03</v>
      </c>
    </row>
    <row r="7" spans="1:12">
      <c r="A7" s="5" t="s">
        <v>5</v>
      </c>
      <c r="C7" s="2" t="s">
        <v>6</v>
      </c>
    </row>
    <row r="8" spans="1:12">
      <c r="A8" s="5" t="s">
        <v>7</v>
      </c>
      <c r="C8" s="3">
        <v>46022</v>
      </c>
    </row>
    <row r="9" spans="1:12">
      <c r="A9" s="5" t="s">
        <v>8</v>
      </c>
      <c r="C9" s="3">
        <v>46022</v>
      </c>
    </row>
    <row r="10" spans="1:12">
      <c r="A10" s="5" t="s">
        <v>9</v>
      </c>
      <c r="C10" s="9">
        <v>49.5</v>
      </c>
    </row>
    <row r="11" spans="1:12">
      <c r="A11" s="5" t="s">
        <v>10</v>
      </c>
      <c r="C11" s="4">
        <v>2184</v>
      </c>
    </row>
    <row r="12" spans="1:12">
      <c r="A12" s="5" t="s">
        <v>11</v>
      </c>
      <c r="C12" s="9">
        <v>27333</v>
      </c>
    </row>
    <row r="13" spans="1:12">
      <c r="A13" s="5" t="s">
        <v>12</v>
      </c>
      <c r="C13" s="9">
        <v>4200</v>
      </c>
    </row>
    <row r="14" spans="1:12">
      <c r="A14" s="5" t="s">
        <v>13</v>
      </c>
      <c r="C14" s="9">
        <v>1500</v>
      </c>
    </row>
    <row r="16" spans="1:12" ht="15" thickBot="1">
      <c r="A16" s="6" t="s">
        <v>14</v>
      </c>
      <c r="C16" s="8" t="s">
        <v>15</v>
      </c>
      <c r="D16" s="8">
        <v>2026</v>
      </c>
      <c r="E16" s="8">
        <v>2027</v>
      </c>
      <c r="F16" s="8">
        <v>2028</v>
      </c>
      <c r="G16" s="8">
        <v>2029</v>
      </c>
      <c r="H16" s="8" t="s">
        <v>16</v>
      </c>
      <c r="I16" s="21"/>
      <c r="J16" s="25" t="s">
        <v>17</v>
      </c>
      <c r="K16" s="25"/>
      <c r="L16" s="25"/>
    </row>
    <row r="17" spans="1:13">
      <c r="A17" s="5" t="s">
        <v>18</v>
      </c>
      <c r="C17" s="17">
        <v>46022</v>
      </c>
      <c r="D17" s="17">
        <v>46387</v>
      </c>
      <c r="E17" s="17">
        <v>46752</v>
      </c>
      <c r="F17" s="17">
        <v>47118</v>
      </c>
      <c r="G17" s="17">
        <v>47483</v>
      </c>
      <c r="H17" s="17">
        <v>47848</v>
      </c>
      <c r="I17" s="17"/>
      <c r="J17" t="s">
        <v>19</v>
      </c>
      <c r="L17" s="10">
        <f>H25*(1+$C$6)/($C$5-$C$6)</f>
        <v>254188.2744064967</v>
      </c>
    </row>
    <row r="18" spans="1:13">
      <c r="A18" s="5" t="s">
        <v>20</v>
      </c>
      <c r="C18" s="16"/>
      <c r="D18" s="16">
        <v>0</v>
      </c>
      <c r="E18" s="16">
        <v>1</v>
      </c>
      <c r="F18" s="16">
        <v>2</v>
      </c>
      <c r="G18" s="16">
        <v>3</v>
      </c>
      <c r="H18" s="16">
        <v>4</v>
      </c>
      <c r="I18" s="16"/>
      <c r="J18" t="s">
        <v>21</v>
      </c>
      <c r="L18" s="19">
        <f>H20*12.1</f>
        <v>157104.82254913601</v>
      </c>
    </row>
    <row r="19" spans="1:13">
      <c r="A19" s="5" t="s">
        <v>22</v>
      </c>
      <c r="C19" s="18">
        <v>0</v>
      </c>
      <c r="D19" s="18">
        <v>1</v>
      </c>
      <c r="E19" s="18">
        <v>2</v>
      </c>
      <c r="F19" s="18">
        <v>3</v>
      </c>
      <c r="G19" s="18">
        <v>4</v>
      </c>
      <c r="H19" s="18">
        <v>5</v>
      </c>
      <c r="I19" s="16"/>
      <c r="J19" t="s">
        <v>23</v>
      </c>
      <c r="L19" s="10">
        <f>AVERAGE(L17:L18)</f>
        <v>205646.54847781634</v>
      </c>
    </row>
    <row r="20" spans="1:13">
      <c r="A20" s="5" t="s">
        <v>24</v>
      </c>
      <c r="C20" s="10">
        <v>11200</v>
      </c>
      <c r="D20" s="11">
        <f>C20*(1+$C$6)</f>
        <v>11536</v>
      </c>
      <c r="E20" s="11">
        <f t="shared" ref="E20:H20" si="0">D20*(1+$C$6)</f>
        <v>11882.08</v>
      </c>
      <c r="F20" s="11">
        <f t="shared" si="0"/>
        <v>12238.5424</v>
      </c>
      <c r="G20" s="11">
        <f t="shared" si="0"/>
        <v>12605.698672</v>
      </c>
      <c r="H20" s="11">
        <f t="shared" si="0"/>
        <v>12983.86963216</v>
      </c>
      <c r="I20" s="16"/>
    </row>
    <row r="21" spans="1:13">
      <c r="A21" s="5" t="s">
        <v>25</v>
      </c>
      <c r="C21" s="12">
        <f>C20*$C$4</f>
        <v>2912</v>
      </c>
      <c r="D21" s="12">
        <f t="shared" ref="D21:H21" si="1">D20*$C$4</f>
        <v>2999.36</v>
      </c>
      <c r="E21" s="12">
        <f t="shared" si="1"/>
        <v>3089.3407999999999</v>
      </c>
      <c r="F21" s="12">
        <f t="shared" si="1"/>
        <v>3182.0210240000001</v>
      </c>
      <c r="G21" s="12">
        <f t="shared" si="1"/>
        <v>3277.4816547200003</v>
      </c>
      <c r="H21" s="12">
        <f t="shared" si="1"/>
        <v>3375.8061043616003</v>
      </c>
      <c r="I21" s="16"/>
    </row>
    <row r="22" spans="1:13">
      <c r="A22" s="5" t="s">
        <v>26</v>
      </c>
      <c r="C22" s="10">
        <v>1325</v>
      </c>
      <c r="D22" s="10">
        <f>C22*$C$6+C22</f>
        <v>1364.75</v>
      </c>
      <c r="E22" s="10">
        <f t="shared" ref="E22:H22" si="2">D22*$C$6+D22</f>
        <v>1405.6925000000001</v>
      </c>
      <c r="F22" s="10">
        <f t="shared" si="2"/>
        <v>1447.8632750000002</v>
      </c>
      <c r="G22" s="10">
        <f t="shared" si="2"/>
        <v>1491.2991732500002</v>
      </c>
      <c r="H22" s="10">
        <f t="shared" si="2"/>
        <v>1536.0381484475001</v>
      </c>
      <c r="I22" s="16"/>
    </row>
    <row r="23" spans="1:13">
      <c r="A23" s="5" t="s">
        <v>27</v>
      </c>
      <c r="C23" s="13">
        <f>$C$14</f>
        <v>1500</v>
      </c>
      <c r="D23" s="13">
        <f>$C$14</f>
        <v>1500</v>
      </c>
      <c r="E23" s="13">
        <f t="shared" ref="E23:H23" si="3">$C$14</f>
        <v>1500</v>
      </c>
      <c r="F23" s="13">
        <f t="shared" si="3"/>
        <v>1500</v>
      </c>
      <c r="G23" s="13">
        <f t="shared" si="3"/>
        <v>1500</v>
      </c>
      <c r="H23" s="13">
        <f t="shared" si="3"/>
        <v>1500</v>
      </c>
      <c r="I23" s="16"/>
    </row>
    <row r="24" spans="1:13">
      <c r="A24" s="5" t="s">
        <v>28</v>
      </c>
      <c r="C24" s="14">
        <v>400</v>
      </c>
      <c r="D24" s="15">
        <f>C24*$C$6+C24</f>
        <v>412</v>
      </c>
      <c r="E24" s="15">
        <f t="shared" ref="E24:H24" si="4">D24*$C$6+D24</f>
        <v>424.36</v>
      </c>
      <c r="F24" s="15">
        <f t="shared" si="4"/>
        <v>437.0908</v>
      </c>
      <c r="G24" s="15">
        <f t="shared" si="4"/>
        <v>450.20352400000002</v>
      </c>
      <c r="H24" s="15">
        <f t="shared" si="4"/>
        <v>463.70962972000001</v>
      </c>
      <c r="I24" s="16"/>
    </row>
    <row r="25" spans="1:13">
      <c r="A25" s="5" t="s">
        <v>29</v>
      </c>
      <c r="C25" s="10">
        <f>C20-C21+C22-C23-C24</f>
        <v>7713</v>
      </c>
      <c r="D25" s="10">
        <f t="shared" ref="D25:H25" si="5">D20-D21+D22-D23-D24</f>
        <v>7989.3899999999994</v>
      </c>
      <c r="E25" s="10">
        <f t="shared" si="5"/>
        <v>8274.0717000000004</v>
      </c>
      <c r="F25" s="10">
        <f t="shared" si="5"/>
        <v>8567.2938510000004</v>
      </c>
      <c r="G25" s="10">
        <f t="shared" si="5"/>
        <v>8869.3126665299988</v>
      </c>
      <c r="H25" s="10">
        <f t="shared" si="5"/>
        <v>9180.3920465258998</v>
      </c>
      <c r="I25" s="16"/>
    </row>
    <row r="26" spans="1:13">
      <c r="A26" s="5" t="s">
        <v>30</v>
      </c>
      <c r="C26" s="10">
        <f>C25/(1+$C$5)^C19</f>
        <v>7713</v>
      </c>
      <c r="D26" s="10">
        <f>D25/(1+$C$5)^D19</f>
        <v>7486.3099700149924</v>
      </c>
      <c r="E26" s="10">
        <f t="shared" ref="E26:H26" si="6">E25/(1+$C$5)^E19</f>
        <v>7264.8666472142495</v>
      </c>
      <c r="F26" s="10">
        <f t="shared" si="6"/>
        <v>7048.6543354036276</v>
      </c>
      <c r="G26" s="10">
        <f t="shared" si="6"/>
        <v>6837.647357733742</v>
      </c>
      <c r="H26" s="10">
        <f t="shared" si="6"/>
        <v>6631.8110675204671</v>
      </c>
    </row>
    <row r="27" spans="1:13">
      <c r="A27" s="5" t="s">
        <v>17</v>
      </c>
      <c r="C27" s="19">
        <f>L19/(1+$C$5)^H19</f>
        <v>148556.73366462247</v>
      </c>
      <c r="D27" s="20" t="s">
        <v>31</v>
      </c>
      <c r="E27" s="20" t="s">
        <v>31</v>
      </c>
      <c r="F27" s="20" t="s">
        <v>31</v>
      </c>
      <c r="G27" s="20" t="s">
        <v>31</v>
      </c>
      <c r="H27" s="19">
        <f>L19</f>
        <v>205646.54847781634</v>
      </c>
    </row>
    <row r="28" spans="1:13">
      <c r="A28" s="5" t="s">
        <v>32</v>
      </c>
      <c r="C28" s="13">
        <v>-131241</v>
      </c>
      <c r="D28" s="10">
        <f>D25</f>
        <v>7989.3899999999994</v>
      </c>
      <c r="E28" s="10">
        <f>E25</f>
        <v>8274.0717000000004</v>
      </c>
      <c r="F28" s="10">
        <f>F25</f>
        <v>8567.2938510000004</v>
      </c>
      <c r="G28" s="10">
        <f>G25</f>
        <v>8869.3126665299988</v>
      </c>
      <c r="H28" s="10">
        <f>H27+H25</f>
        <v>214826.94052434224</v>
      </c>
    </row>
    <row r="29" spans="1:13">
      <c r="C29" s="16"/>
      <c r="D29" s="16"/>
      <c r="E29" s="16"/>
      <c r="F29" s="16"/>
      <c r="G29" s="16"/>
      <c r="H29" s="16"/>
    </row>
    <row r="30" spans="1:13" ht="15" thickBot="1">
      <c r="A30" s="25" t="s">
        <v>33</v>
      </c>
      <c r="B30" s="25"/>
      <c r="E30" s="25" t="s">
        <v>34</v>
      </c>
      <c r="F30" s="25"/>
      <c r="G30" s="25"/>
      <c r="J30" s="25" t="s">
        <v>35</v>
      </c>
      <c r="K30" s="25"/>
      <c r="L30" s="25"/>
      <c r="M30" s="25"/>
    </row>
    <row r="31" spans="1:13">
      <c r="A31" s="5" t="s">
        <v>36</v>
      </c>
      <c r="B31" s="10">
        <f>SUM(D26:H26)+C27</f>
        <v>183826.02304250957</v>
      </c>
      <c r="E31" t="s">
        <v>37</v>
      </c>
      <c r="G31" s="10">
        <f>C10*C11</f>
        <v>108108</v>
      </c>
      <c r="J31" t="s">
        <v>38</v>
      </c>
      <c r="M31" s="22">
        <f xml:space="preserve"> (B36/C10)-1</f>
        <v>0.48641194955516309</v>
      </c>
    </row>
    <row r="32" spans="1:13">
      <c r="A32" s="5" t="s">
        <v>39</v>
      </c>
      <c r="B32" s="10">
        <f>C13</f>
        <v>4200</v>
      </c>
      <c r="E32" t="s">
        <v>40</v>
      </c>
      <c r="G32" s="10">
        <f>B33</f>
        <v>27333</v>
      </c>
      <c r="J32" t="s">
        <v>41</v>
      </c>
      <c r="M32" s="23" cm="1">
        <f t="array" ref="M32">IRR(-C28:H28)</f>
        <v>0.14897823461051662</v>
      </c>
    </row>
    <row r="33" spans="1:13">
      <c r="A33" s="5" t="s">
        <v>42</v>
      </c>
      <c r="B33" s="15">
        <f>C12</f>
        <v>27333</v>
      </c>
      <c r="E33" t="s">
        <v>43</v>
      </c>
      <c r="G33" s="15">
        <f>B32</f>
        <v>4200</v>
      </c>
      <c r="J33" t="s">
        <v>44</v>
      </c>
      <c r="M33" s="16" t="str">
        <f>IF((B36&gt;C10),"BUY","SELL")</f>
        <v>BUY</v>
      </c>
    </row>
    <row r="34" spans="1:13">
      <c r="A34" s="5" t="s">
        <v>45</v>
      </c>
      <c r="B34" s="10">
        <f>B31+B32-B33</f>
        <v>160693.02304250957</v>
      </c>
      <c r="E34" t="s">
        <v>36</v>
      </c>
      <c r="G34" s="10">
        <f>G31+G32-G33</f>
        <v>131241</v>
      </c>
    </row>
    <row r="35" spans="1:13" ht="15" thickBot="1">
      <c r="B35" s="16"/>
      <c r="G35" s="16"/>
      <c r="J35" s="25" t="s">
        <v>46</v>
      </c>
      <c r="K35" s="25"/>
      <c r="L35" s="25"/>
      <c r="M35" s="25"/>
    </row>
    <row r="36" spans="1:13">
      <c r="A36" s="5" t="s">
        <v>47</v>
      </c>
      <c r="B36" s="10">
        <f>B34/C11</f>
        <v>73.577391502980575</v>
      </c>
      <c r="E36" t="s">
        <v>47</v>
      </c>
      <c r="G36" s="11">
        <v>49.5</v>
      </c>
      <c r="J36" t="s">
        <v>48</v>
      </c>
      <c r="M36" s="10">
        <f>G36</f>
        <v>49.5</v>
      </c>
    </row>
    <row r="37" spans="1:13">
      <c r="J37" t="s">
        <v>49</v>
      </c>
      <c r="M37" s="10">
        <f>B36-G36</f>
        <v>24.077391502980575</v>
      </c>
    </row>
    <row r="38" spans="1:13">
      <c r="J38" t="s">
        <v>33</v>
      </c>
      <c r="M38" s="10">
        <f>B36</f>
        <v>73.577391502980575</v>
      </c>
    </row>
  </sheetData>
  <mergeCells count="6">
    <mergeCell ref="J35:M35"/>
    <mergeCell ref="J30:M30"/>
    <mergeCell ref="A3:C3"/>
    <mergeCell ref="J16:L16"/>
    <mergeCell ref="A30:B30"/>
    <mergeCell ref="E30:G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pranavipujari48@gmail.com</dc:creator>
  <cp:keywords/>
  <dc:description/>
  <cp:lastModifiedBy/>
  <cp:revision/>
  <dcterms:created xsi:type="dcterms:W3CDTF">2026-05-11T18:07:49Z</dcterms:created>
  <dcterms:modified xsi:type="dcterms:W3CDTF">2026-05-15T02:23:18Z</dcterms:modified>
  <cp:category/>
  <cp:contentStatus/>
</cp:coreProperties>
</file>